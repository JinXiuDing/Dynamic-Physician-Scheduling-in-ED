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ding/document/ED physician allocate/omega投稿/数据- GitHub/Dynamic-Physician-Scheduling-in-ED-main 2/solution_results/"/>
    </mc:Choice>
  </mc:AlternateContent>
  <xr:revisionPtr revIDLastSave="0" documentId="13_ncr:1_{A0C6B5C6-A574-244B-A78B-2E23F6380634}" xr6:coauthVersionLast="47" xr6:coauthVersionMax="47" xr10:uidLastSave="{00000000-0000-0000-0000-000000000000}"/>
  <bookViews>
    <workbookView xWindow="0" yWindow="660" windowWidth="30240" windowHeight="18980" xr2:uid="{E92B10E3-D7CE-44EA-96E1-86627928A14A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3" l="1"/>
  <c r="D98" i="3"/>
  <c r="E92" i="3"/>
  <c r="D92" i="3"/>
  <c r="E86" i="3"/>
  <c r="D86" i="3"/>
  <c r="E80" i="3"/>
  <c r="D80" i="3"/>
  <c r="E146" i="3"/>
  <c r="D146" i="3"/>
  <c r="E140" i="3"/>
  <c r="D140" i="3"/>
  <c r="E134" i="3"/>
  <c r="D134" i="3"/>
  <c r="E128" i="3"/>
  <c r="D128" i="3"/>
  <c r="E122" i="3"/>
  <c r="D122" i="3"/>
  <c r="E116" i="3"/>
  <c r="D116" i="3"/>
  <c r="E110" i="3"/>
  <c r="D110" i="3"/>
  <c r="E104" i="3"/>
  <c r="D104" i="3"/>
  <c r="E74" i="3"/>
  <c r="D74" i="3"/>
  <c r="E68" i="3"/>
  <c r="D68" i="3"/>
  <c r="E62" i="3"/>
  <c r="D62" i="3"/>
  <c r="E56" i="3"/>
  <c r="D56" i="3"/>
  <c r="D38" i="3"/>
  <c r="E38" i="3"/>
  <c r="E50" i="3"/>
  <c r="D50" i="3"/>
  <c r="E44" i="3"/>
  <c r="D44" i="3"/>
  <c r="E32" i="3"/>
  <c r="D32" i="3"/>
</calcChain>
</file>

<file path=xl/sharedStrings.xml><?xml version="1.0" encoding="utf-8"?>
<sst xmlns="http://schemas.openxmlformats.org/spreadsheetml/2006/main" count="68" uniqueCount="19">
  <si>
    <t>baseline instace</t>
    <phoneticPr fontId="1" type="noConversion"/>
  </si>
  <si>
    <t>Date</t>
    <phoneticPr fontId="1" type="noConversion"/>
  </si>
  <si>
    <t xml:space="preserve">parampter </t>
    <phoneticPr fontId="1" type="noConversion"/>
  </si>
  <si>
    <t>Variation</t>
  </si>
  <si>
    <t>$c_0$</t>
    <phoneticPr fontId="1" type="noConversion"/>
  </si>
  <si>
    <t>+20%</t>
    <phoneticPr fontId="1" type="noConversion"/>
  </si>
  <si>
    <t>+10%</t>
    <phoneticPr fontId="1" type="noConversion"/>
  </si>
  <si>
    <t>-10%</t>
    <phoneticPr fontId="1" type="noConversion"/>
  </si>
  <si>
    <t>-20%</t>
    <phoneticPr fontId="1" type="noConversion"/>
  </si>
  <si>
    <t>$p_0$</t>
    <phoneticPr fontId="1" type="noConversion"/>
  </si>
  <si>
    <t>$c_1$</t>
    <phoneticPr fontId="1" type="noConversion"/>
  </si>
  <si>
    <t>$p_1$</t>
    <phoneticPr fontId="1" type="noConversion"/>
  </si>
  <si>
    <t>$\hat{q}_0$</t>
    <phoneticPr fontId="1" type="noConversion"/>
  </si>
  <si>
    <t>$\hat{q}_1$</t>
    <phoneticPr fontId="1" type="noConversion"/>
  </si>
  <si>
    <t>Cost Change</t>
    <phoneticPr fontId="1" type="noConversion"/>
  </si>
  <si>
    <t xml:space="preserve"> Loss Rate</t>
  </si>
  <si>
    <t>BI1_NC</t>
    <phoneticPr fontId="1" type="noConversion"/>
  </si>
  <si>
    <t>BI1_BC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</si>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</sst>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_);[Red]\(0.0\)"/>
  </numFmts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50ED-36C6-4B37-A3F6-36CB80FCABF7}">
  <dimension ref="A1:G164"/>
  <sheetViews>
    <sheetView tabSelected="1" zoomScale="99" workbookViewId="0">
      <selection activeCell="L12" sqref="L12"/>
    </sheetView>
  </sheetViews>
  <sheetFormatPr baseColWidth="10" defaultColWidth="8.83203125" defaultRowHeight="15"/>
  <cols>
    <col min="1" max="1" width="15.6640625" style="1" customWidth="1"/>
    <col min="2" max="2" width="15.6640625" style="4" customWidth="1"/>
    <col min="3" max="3" width="21.6640625" style="1" customWidth="1"/>
    <col min="4" max="5" width="8.6640625" style="6"/>
    <col min="6" max="16384" width="8.83203125" style="1"/>
  </cols>
  <sheetData>
    <row r="1" spans="1:7">
      <c r="A1" s="1" t="s">
        <v>2</v>
      </c>
      <c r="B1" s="4" t="s">
        <v>3</v>
      </c>
      <c r="C1" s="1" t="s">
        <v>1</v>
      </c>
      <c r="D1" s="6" t="s">
        <v>16</v>
      </c>
      <c r="E1" s="6" t="s">
        <v>17</v>
      </c>
      <c r="F1" s="1" t="s">
        <v>14</v>
      </c>
      <c r="G1" s="1" t="s">
        <v>15</v>
      </c>
    </row>
    <row r="2" spans="1:7" s="2" customFormat="1">
      <c r="A2" s="2" t="s">
        <v>0</v>
      </c>
      <c r="B2" s="5">
        <v>0</v>
      </c>
      <c r="D2" s="7">
        <v>531.37796000000003</v>
      </c>
      <c r="E2" s="7">
        <v>531.37796000000003</v>
      </c>
      <c r="F2" s="2" t="s">
        <v>18</v>
      </c>
      <c r="G2" s="2" t="s">
        <v>18</v>
      </c>
    </row>
    <row r="3" spans="1:7">
      <c r="C3" s="3">
        <v>44771</v>
      </c>
      <c r="D3" s="6">
        <v>636.71230000000003</v>
      </c>
      <c r="E3" s="6">
        <v>636.71230000000003</v>
      </c>
      <c r="F3" s="2" t="s">
        <v>18</v>
      </c>
      <c r="G3" s="2" t="s">
        <v>18</v>
      </c>
    </row>
    <row r="4" spans="1:7">
      <c r="C4" s="3">
        <v>44789</v>
      </c>
      <c r="D4" s="6">
        <v>298.97030000000001</v>
      </c>
      <c r="E4" s="6">
        <v>298.97030000000001</v>
      </c>
      <c r="F4" s="2" t="s">
        <v>18</v>
      </c>
      <c r="G4" s="2" t="s">
        <v>18</v>
      </c>
    </row>
    <row r="5" spans="1:7">
      <c r="C5" s="3">
        <v>44835</v>
      </c>
      <c r="D5" s="6">
        <v>488.02690000000001</v>
      </c>
      <c r="E5" s="6">
        <v>488.02690000000001</v>
      </c>
      <c r="F5" s="2" t="s">
        <v>18</v>
      </c>
      <c r="G5" s="2" t="s">
        <v>18</v>
      </c>
    </row>
    <row r="6" spans="1:7">
      <c r="C6" s="3">
        <v>44894</v>
      </c>
      <c r="D6" s="6">
        <v>782.29380000000003</v>
      </c>
      <c r="E6" s="6">
        <v>782.29380000000003</v>
      </c>
      <c r="F6" s="2" t="s">
        <v>18</v>
      </c>
      <c r="G6" s="2" t="s">
        <v>18</v>
      </c>
    </row>
    <row r="7" spans="1:7">
      <c r="C7" s="3">
        <v>44895</v>
      </c>
      <c r="D7" s="6">
        <v>450.88650000000001</v>
      </c>
      <c r="E7" s="6">
        <v>450.88650000000001</v>
      </c>
      <c r="F7" s="2" t="s">
        <v>18</v>
      </c>
      <c r="G7" s="2" t="s">
        <v>18</v>
      </c>
    </row>
    <row r="8" spans="1:7" s="2" customFormat="1">
      <c r="A8" s="2" t="s">
        <v>4</v>
      </c>
      <c r="B8" s="5" t="s">
        <v>5</v>
      </c>
      <c r="D8" s="7">
        <v>570.34199999999998</v>
      </c>
      <c r="E8" s="7">
        <v>570.96499999999992</v>
      </c>
      <c r="F8" s="8">
        <v>7.3326413462839052E-2</v>
      </c>
      <c r="G8" s="8">
        <v>1.092327059904292E-3</v>
      </c>
    </row>
    <row r="9" spans="1:7" ht="13" customHeight="1">
      <c r="C9" s="3">
        <v>44771</v>
      </c>
      <c r="D9" s="6">
        <v>693.99800000000005</v>
      </c>
      <c r="E9" s="6">
        <v>695.29690000000005</v>
      </c>
      <c r="F9" s="9">
        <v>8.9971090553771324E-2</v>
      </c>
      <c r="G9" s="9">
        <v>1.871619226568381E-3</v>
      </c>
    </row>
    <row r="10" spans="1:7">
      <c r="C10" s="3">
        <v>44789</v>
      </c>
      <c r="D10" s="6">
        <v>327.47609999999997</v>
      </c>
      <c r="E10" s="6">
        <v>327.95589999999999</v>
      </c>
      <c r="F10" s="9">
        <v>9.5346594628295742E-2</v>
      </c>
      <c r="G10" s="9">
        <v>1.4651450899775941E-3</v>
      </c>
    </row>
    <row r="11" spans="1:7">
      <c r="C11" s="3">
        <v>44835</v>
      </c>
      <c r="D11" s="6">
        <v>505.23939999999999</v>
      </c>
      <c r="E11" s="6">
        <v>505.30500000000001</v>
      </c>
      <c r="F11" s="9">
        <v>3.526957223054708E-2</v>
      </c>
      <c r="G11" s="9">
        <v>1.2983943849196569E-4</v>
      </c>
    </row>
    <row r="12" spans="1:7">
      <c r="C12" s="3">
        <v>44894</v>
      </c>
      <c r="D12" s="6">
        <v>847.61919999999998</v>
      </c>
      <c r="E12" s="6">
        <v>848.65819999999997</v>
      </c>
      <c r="F12" s="9">
        <v>8.3504944050432128E-2</v>
      </c>
      <c r="G12" s="9">
        <v>1.2257862964878418E-3</v>
      </c>
    </row>
    <row r="13" spans="1:7">
      <c r="C13" s="3">
        <v>44895</v>
      </c>
      <c r="D13" s="6">
        <v>477.3784</v>
      </c>
      <c r="E13" s="6">
        <v>477.60899999999998</v>
      </c>
      <c r="F13" s="9">
        <v>5.8755141260605465E-2</v>
      </c>
      <c r="G13" s="9">
        <v>4.8305495179501472E-4</v>
      </c>
    </row>
    <row r="14" spans="1:7" s="2" customFormat="1">
      <c r="A14" s="2" t="s">
        <v>4</v>
      </c>
      <c r="B14" s="5" t="s">
        <v>6</v>
      </c>
      <c r="D14" s="7">
        <v>551.01628000000005</v>
      </c>
      <c r="E14" s="7">
        <v>551.17147999999997</v>
      </c>
      <c r="F14" s="8">
        <v>3.6957347647614179E-2</v>
      </c>
      <c r="G14" s="8">
        <v>2.816613694243707E-4</v>
      </c>
    </row>
    <row r="15" spans="1:7">
      <c r="C15" s="3">
        <v>44771</v>
      </c>
      <c r="D15" s="6">
        <v>447.21539999999999</v>
      </c>
      <c r="E15" s="6">
        <v>623.46630000000005</v>
      </c>
      <c r="F15" s="9">
        <v>-0.29761777807653478</v>
      </c>
      <c r="G15" s="9">
        <v>0.39410740327815202</v>
      </c>
    </row>
    <row r="16" spans="1:7">
      <c r="C16" s="3">
        <v>44789</v>
      </c>
      <c r="D16" s="6">
        <v>205.43340000000001</v>
      </c>
      <c r="E16" s="6">
        <v>259.85180000000003</v>
      </c>
      <c r="F16" s="9">
        <v>-0.31286351855017036</v>
      </c>
      <c r="G16" s="9">
        <v>0.264895581731111</v>
      </c>
    </row>
    <row r="17" spans="1:7">
      <c r="C17" s="3">
        <v>44835</v>
      </c>
      <c r="D17" s="6">
        <v>434.97309999999999</v>
      </c>
      <c r="E17" s="6">
        <v>517.19489999999996</v>
      </c>
      <c r="F17" s="9">
        <v>-0.10871081081801029</v>
      </c>
      <c r="G17" s="9">
        <v>0.18902732145964882</v>
      </c>
    </row>
    <row r="18" spans="1:7">
      <c r="C18" s="3">
        <v>44894</v>
      </c>
      <c r="D18" s="6">
        <v>573.45039999999995</v>
      </c>
      <c r="E18" s="6">
        <v>724.44240000000002</v>
      </c>
      <c r="F18" s="9">
        <v>-0.26696287251669398</v>
      </c>
      <c r="G18" s="9">
        <v>0.26330437645522625</v>
      </c>
    </row>
    <row r="19" spans="1:7">
      <c r="C19" s="3">
        <v>44895</v>
      </c>
      <c r="D19" s="6">
        <v>367.74009999999998</v>
      </c>
      <c r="E19" s="6">
        <v>430.6139</v>
      </c>
      <c r="F19" s="9">
        <v>-0.18440649697872974</v>
      </c>
      <c r="G19" s="9">
        <v>0.17097346740265754</v>
      </c>
    </row>
    <row r="20" spans="1:7" s="2" customFormat="1">
      <c r="A20" s="2" t="s">
        <v>4</v>
      </c>
      <c r="B20" s="5" t="s">
        <v>7</v>
      </c>
      <c r="D20" s="7">
        <v>511.41028000000006</v>
      </c>
      <c r="E20" s="7">
        <v>511.58440000000007</v>
      </c>
      <c r="F20" s="8">
        <v>-3.757717011823368E-2</v>
      </c>
      <c r="G20" s="8">
        <v>3.4047027760180385E-4</v>
      </c>
    </row>
    <row r="21" spans="1:7">
      <c r="C21" s="3">
        <v>44771</v>
      </c>
      <c r="D21" s="6">
        <v>576.73609999999996</v>
      </c>
      <c r="E21" s="6">
        <v>707.6114</v>
      </c>
      <c r="F21" s="9">
        <v>-9.4196703911641186E-2</v>
      </c>
      <c r="G21" s="9">
        <v>0.22692406457650222</v>
      </c>
    </row>
    <row r="22" spans="1:7">
      <c r="C22" s="3">
        <v>44789</v>
      </c>
      <c r="D22" s="6">
        <v>269.36419999999998</v>
      </c>
      <c r="E22" s="6">
        <v>306.7167</v>
      </c>
      <c r="F22" s="9">
        <v>-9.9026893306793429E-2</v>
      </c>
      <c r="G22" s="9">
        <v>0.13866913272068085</v>
      </c>
    </row>
    <row r="23" spans="1:7">
      <c r="C23" s="3">
        <v>44835</v>
      </c>
      <c r="D23" s="6">
        <v>470.65789999999998</v>
      </c>
      <c r="E23" s="6">
        <v>544.76469999999995</v>
      </c>
      <c r="F23" s="9">
        <v>-3.5590251275083459E-2</v>
      </c>
      <c r="G23" s="9">
        <v>0.15745364095662681</v>
      </c>
    </row>
    <row r="24" spans="1:7">
      <c r="C24" s="3">
        <v>44894</v>
      </c>
      <c r="D24" s="6">
        <v>714.79499999999996</v>
      </c>
      <c r="E24" s="6">
        <v>824.721</v>
      </c>
      <c r="F24" s="9">
        <v>-8.6283184143860103E-2</v>
      </c>
      <c r="G24" s="9">
        <v>0.1537867500472164</v>
      </c>
    </row>
    <row r="25" spans="1:7">
      <c r="C25" s="3">
        <v>44895</v>
      </c>
      <c r="D25" s="6">
        <v>423.9067</v>
      </c>
      <c r="E25" s="6">
        <v>474.01330000000002</v>
      </c>
      <c r="F25" s="9">
        <v>-5.9837231764535002E-2</v>
      </c>
      <c r="G25" s="9">
        <v>0.11820195340153862</v>
      </c>
    </row>
    <row r="26" spans="1:7" s="2" customFormat="1">
      <c r="A26" s="2" t="s">
        <v>4</v>
      </c>
      <c r="B26" s="5" t="s">
        <v>8</v>
      </c>
      <c r="D26" s="7">
        <v>491.09197999999998</v>
      </c>
      <c r="E26" s="7">
        <v>491.79090000000008</v>
      </c>
      <c r="F26" s="8">
        <v>-7.5814171893768517E-2</v>
      </c>
      <c r="G26" s="8">
        <v>1.4231957117281789E-3</v>
      </c>
    </row>
    <row r="27" spans="1:7">
      <c r="C27" s="3">
        <v>44771</v>
      </c>
      <c r="D27" s="6">
        <v>327.47609999999997</v>
      </c>
      <c r="E27" s="6">
        <v>353.58159999999998</v>
      </c>
      <c r="F27" s="9">
        <v>-0.48567649784682976</v>
      </c>
      <c r="G27" s="9">
        <v>7.9717267916651041E-2</v>
      </c>
    </row>
    <row r="28" spans="1:7">
      <c r="C28" s="3">
        <v>44789</v>
      </c>
      <c r="D28" s="6">
        <v>505.23939999999999</v>
      </c>
      <c r="E28" s="6">
        <v>572.33450000000005</v>
      </c>
      <c r="F28" s="9">
        <v>0.68993174238377519</v>
      </c>
      <c r="G28" s="9">
        <v>0.13279862971890169</v>
      </c>
    </row>
    <row r="29" spans="1:7">
      <c r="C29" s="3">
        <v>44835</v>
      </c>
      <c r="D29" s="6">
        <v>847.61919999999998</v>
      </c>
      <c r="E29" s="6">
        <v>924.99959999999999</v>
      </c>
      <c r="F29" s="9">
        <v>0.73682885103259665</v>
      </c>
      <c r="G29" s="9">
        <v>9.1291466734118351E-2</v>
      </c>
    </row>
    <row r="30" spans="1:7">
      <c r="C30" s="3">
        <v>44894</v>
      </c>
      <c r="D30" s="6">
        <v>477.3784</v>
      </c>
      <c r="E30" s="6">
        <v>517.41279999999995</v>
      </c>
      <c r="F30" s="9">
        <v>-0.38977095306136905</v>
      </c>
      <c r="G30" s="9">
        <v>8.3863031926035919E-2</v>
      </c>
    </row>
    <row r="31" spans="1:7">
      <c r="C31" s="3">
        <v>44895</v>
      </c>
      <c r="D31" s="6">
        <v>693.99800000000005</v>
      </c>
      <c r="E31" s="6">
        <v>791.75639999999999</v>
      </c>
      <c r="F31" s="9">
        <v>0.53918558218088153</v>
      </c>
      <c r="G31" s="9">
        <v>0.14086265378286383</v>
      </c>
    </row>
    <row r="32" spans="1:7" s="2" customFormat="1">
      <c r="A32" s="2" t="s">
        <v>10</v>
      </c>
      <c r="B32" s="5" t="s">
        <v>5</v>
      </c>
      <c r="D32" s="7">
        <f>AVERAGE(D33:D37)</f>
        <v>560.21605999999997</v>
      </c>
      <c r="E32" s="7">
        <f>AVERAGE(E33:E37)</f>
        <v>560.31961999999999</v>
      </c>
      <c r="F32" s="8">
        <v>5.4270410462639321E-2</v>
      </c>
      <c r="G32" s="8">
        <v>1.8485724954050027E-4</v>
      </c>
    </row>
    <row r="33" spans="1:7" ht="13" customHeight="1">
      <c r="C33" s="3">
        <v>44771</v>
      </c>
      <c r="D33" s="6">
        <v>669.44460000000004</v>
      </c>
      <c r="E33" s="6">
        <v>669.62919999999997</v>
      </c>
      <c r="F33" s="9">
        <v>5.1408304818361464E-2</v>
      </c>
      <c r="G33" s="9">
        <v>2.7575097326938203E-4</v>
      </c>
    </row>
    <row r="34" spans="1:7">
      <c r="C34" s="3">
        <v>44789</v>
      </c>
      <c r="D34" s="6">
        <v>320.42450000000002</v>
      </c>
      <c r="E34" s="6">
        <v>320.51150000000001</v>
      </c>
      <c r="F34" s="9">
        <v>7.1760305287849713E-2</v>
      </c>
      <c r="G34" s="9">
        <v>2.7151481862338581E-4</v>
      </c>
    </row>
    <row r="35" spans="1:7">
      <c r="C35" s="3">
        <v>44835</v>
      </c>
      <c r="D35" s="6">
        <v>520.65039999999999</v>
      </c>
      <c r="E35" s="6">
        <v>520.67759999999998</v>
      </c>
      <c r="F35" s="9">
        <v>6.6847749581016899E-2</v>
      </c>
      <c r="G35" s="9">
        <v>5.2242349184776294E-5</v>
      </c>
    </row>
    <row r="36" spans="1:7">
      <c r="C36" s="3">
        <v>44894</v>
      </c>
      <c r="D36" s="6">
        <v>813.51149999999996</v>
      </c>
      <c r="E36" s="6">
        <v>813.67110000000002</v>
      </c>
      <c r="F36" s="9">
        <v>3.9905339911935796E-2</v>
      </c>
      <c r="G36" s="9">
        <v>1.9618653208967369E-4</v>
      </c>
    </row>
    <row r="37" spans="1:7">
      <c r="C37" s="3">
        <v>44895</v>
      </c>
      <c r="D37" s="6">
        <v>477.04930000000002</v>
      </c>
      <c r="E37" s="6">
        <v>477.1087</v>
      </c>
      <c r="F37" s="9">
        <v>5.8025245821287624E-2</v>
      </c>
      <c r="G37" s="9">
        <v>1.2451543268165858E-4</v>
      </c>
    </row>
    <row r="38" spans="1:7" s="2" customFormat="1">
      <c r="A38" s="2" t="s">
        <v>10</v>
      </c>
      <c r="B38" s="5" t="s">
        <v>6</v>
      </c>
      <c r="D38" s="7">
        <f>AVERAGE(D39:D43)</f>
        <v>545.82144000000005</v>
      </c>
      <c r="E38" s="7">
        <f>AVERAGE(E39:E43)</f>
        <v>545.84878000000003</v>
      </c>
      <c r="F38" s="8">
        <v>2.7181180039909863E-2</v>
      </c>
      <c r="G38" s="8">
        <v>5.0089641037151347E-5</v>
      </c>
    </row>
    <row r="39" spans="1:7">
      <c r="C39" s="3">
        <v>44771</v>
      </c>
      <c r="D39" s="6">
        <v>653.11800000000005</v>
      </c>
      <c r="E39" s="6">
        <v>653.17070000000001</v>
      </c>
      <c r="F39" s="9">
        <v>2.5766268375842626E-2</v>
      </c>
      <c r="G39" s="9">
        <v>8.0689860025231098E-5</v>
      </c>
    </row>
    <row r="40" spans="1:7">
      <c r="C40" s="3">
        <v>44789</v>
      </c>
      <c r="D40" s="6">
        <v>309.72039999999998</v>
      </c>
      <c r="E40" s="6">
        <v>309.74090000000001</v>
      </c>
      <c r="F40" s="9">
        <v>3.5957083362461E-2</v>
      </c>
      <c r="G40" s="9">
        <v>6.6188730222571169E-5</v>
      </c>
    </row>
    <row r="41" spans="1:7">
      <c r="C41" s="3">
        <v>44835</v>
      </c>
      <c r="D41" s="6">
        <v>504.34649999999999</v>
      </c>
      <c r="E41" s="6">
        <v>504.35230000000001</v>
      </c>
      <c r="F41" s="9">
        <v>3.3439959969419675E-2</v>
      </c>
      <c r="G41" s="9">
        <v>1.1500030237192109E-5</v>
      </c>
    </row>
    <row r="42" spans="1:7">
      <c r="C42" s="3">
        <v>44894</v>
      </c>
      <c r="D42" s="6">
        <v>797.93780000000004</v>
      </c>
      <c r="E42" s="6">
        <v>797.98239999999998</v>
      </c>
      <c r="F42" s="9">
        <v>1.9997601923983043E-2</v>
      </c>
      <c r="G42" s="9">
        <v>5.5894080967145298E-5</v>
      </c>
    </row>
    <row r="43" spans="1:7">
      <c r="C43" s="3">
        <v>44895</v>
      </c>
      <c r="D43" s="6">
        <v>463.98450000000003</v>
      </c>
      <c r="E43" s="6">
        <v>463.99759999999998</v>
      </c>
      <c r="F43" s="9">
        <v>2.904943927130223E-2</v>
      </c>
      <c r="G43" s="9">
        <v>2.8233701772261154E-5</v>
      </c>
    </row>
    <row r="44" spans="1:7" s="2" customFormat="1">
      <c r="A44" s="2" t="s">
        <v>10</v>
      </c>
      <c r="B44" s="5" t="s">
        <v>7</v>
      </c>
      <c r="D44" s="7">
        <f>AVERAGE(D45:D49)</f>
        <v>516.88783999999998</v>
      </c>
      <c r="E44" s="7">
        <f>AVERAGE(E45:E49)</f>
        <v>516.90710000000001</v>
      </c>
      <c r="F44" s="8">
        <v>-2.7268951839854342E-2</v>
      </c>
      <c r="G44" s="8">
        <v>3.7261468561595768E-5</v>
      </c>
    </row>
    <row r="45" spans="1:7">
      <c r="C45" s="3">
        <v>44771</v>
      </c>
      <c r="D45" s="6">
        <v>620.20820000000003</v>
      </c>
      <c r="E45" s="6">
        <v>620.25379999999996</v>
      </c>
      <c r="F45" s="9">
        <v>-2.5920812272670079E-2</v>
      </c>
      <c r="G45" s="9">
        <v>7.3523697364727116E-5</v>
      </c>
    </row>
    <row r="46" spans="1:7">
      <c r="C46" s="3">
        <v>44789</v>
      </c>
      <c r="D46" s="6">
        <v>288.18740000000003</v>
      </c>
      <c r="E46" s="6">
        <v>288.19970000000001</v>
      </c>
      <c r="F46" s="9">
        <v>-3.6066793256721429E-2</v>
      </c>
      <c r="G46" s="9">
        <v>4.268056132912817E-5</v>
      </c>
    </row>
    <row r="47" spans="1:7">
      <c r="C47" s="3">
        <v>44835</v>
      </c>
      <c r="D47" s="6">
        <v>471.7002</v>
      </c>
      <c r="E47" s="6">
        <v>471.70150000000001</v>
      </c>
      <c r="F47" s="9">
        <v>-3.3454508347798076E-2</v>
      </c>
      <c r="G47" s="9">
        <v>2.7559878075411752E-6</v>
      </c>
    </row>
    <row r="48" spans="1:7">
      <c r="C48" s="3">
        <v>44894</v>
      </c>
      <c r="D48" s="6">
        <v>766.58069999999998</v>
      </c>
      <c r="E48" s="6">
        <v>766.60509999999999</v>
      </c>
      <c r="F48" s="9">
        <v>-2.0085931909469376E-2</v>
      </c>
      <c r="G48" s="9">
        <v>3.1829656029709841E-5</v>
      </c>
    </row>
    <row r="49" spans="1:7">
      <c r="C49" s="3">
        <v>44895</v>
      </c>
      <c r="D49" s="6">
        <v>437.7627</v>
      </c>
      <c r="E49" s="6">
        <v>437.77539999999999</v>
      </c>
      <c r="F49" s="9">
        <v>-2.9106659880036367E-2</v>
      </c>
      <c r="G49" s="9">
        <v>2.9011151475434684E-5</v>
      </c>
    </row>
    <row r="50" spans="1:7" s="2" customFormat="1">
      <c r="A50" s="2" t="s">
        <v>10</v>
      </c>
      <c r="B50" s="5" t="s">
        <v>8</v>
      </c>
      <c r="D50" s="7">
        <f>AVERAGE(D51:D55)</f>
        <v>502.34590000000009</v>
      </c>
      <c r="E50" s="7">
        <f>AVERAGE(E51:E55)</f>
        <v>502.43625999999995</v>
      </c>
      <c r="F50" s="8">
        <v>-5.4635423719869645E-2</v>
      </c>
      <c r="G50" s="8">
        <v>1.7987605751308385E-4</v>
      </c>
    </row>
    <row r="51" spans="1:7">
      <c r="C51" s="3">
        <v>44771</v>
      </c>
      <c r="D51" s="6">
        <v>603.59820000000002</v>
      </c>
      <c r="E51" s="6">
        <v>603.7953</v>
      </c>
      <c r="F51" s="9">
        <v>-5.2007947702596612E-2</v>
      </c>
      <c r="G51" s="9">
        <v>3.2654172924965254E-4</v>
      </c>
    </row>
    <row r="52" spans="1:7">
      <c r="C52" s="3">
        <v>44789</v>
      </c>
      <c r="D52" s="6">
        <v>277.34440000000001</v>
      </c>
      <c r="E52" s="6">
        <v>277.42919999999998</v>
      </c>
      <c r="F52" s="9">
        <v>-7.2334609825792068E-2</v>
      </c>
      <c r="G52" s="9">
        <v>3.0575702988765196E-4</v>
      </c>
    </row>
    <row r="53" spans="1:7">
      <c r="C53" s="3">
        <v>44835</v>
      </c>
      <c r="D53" s="6">
        <v>455.36059999999998</v>
      </c>
      <c r="E53" s="6">
        <v>455.37610000000001</v>
      </c>
      <c r="F53" s="9">
        <v>-6.6935449664762406E-2</v>
      </c>
      <c r="G53" s="9">
        <v>3.4038957257240477E-5</v>
      </c>
    </row>
    <row r="54" spans="1:7">
      <c r="C54" s="3">
        <v>44894</v>
      </c>
      <c r="D54" s="6">
        <v>750.81200000000001</v>
      </c>
      <c r="E54" s="6">
        <v>750.91639999999995</v>
      </c>
      <c r="F54" s="9">
        <v>-4.0242936860806031E-2</v>
      </c>
      <c r="G54" s="9">
        <v>1.3904945578912089E-4</v>
      </c>
    </row>
    <row r="55" spans="1:7">
      <c r="C55" s="3">
        <v>44895</v>
      </c>
      <c r="D55" s="6">
        <v>424.61430000000001</v>
      </c>
      <c r="E55" s="6">
        <v>424.66430000000003</v>
      </c>
      <c r="F55" s="9">
        <v>-5.8267878945144728E-2</v>
      </c>
      <c r="G55" s="9">
        <v>1.1775392397291228E-4</v>
      </c>
    </row>
    <row r="56" spans="1:7" s="2" customFormat="1">
      <c r="A56" s="2" t="s">
        <v>9</v>
      </c>
      <c r="B56" s="5" t="s">
        <v>5</v>
      </c>
      <c r="D56" s="7">
        <f>AVERAGE(D57:D61)</f>
        <v>535.03258000000005</v>
      </c>
      <c r="E56" s="7">
        <f>AVERAGE(E57:E61)</f>
        <v>535.25288000000012</v>
      </c>
      <c r="F56" s="8">
        <v>6.8776281199167963E-3</v>
      </c>
      <c r="G56" s="8">
        <v>4.1175062647599077E-4</v>
      </c>
    </row>
    <row r="57" spans="1:7">
      <c r="C57" s="3">
        <v>44771</v>
      </c>
      <c r="D57" s="6">
        <v>641.65620000000001</v>
      </c>
      <c r="E57" s="6">
        <v>641.90629999999999</v>
      </c>
      <c r="F57" s="9">
        <v>7.7647314179418005E-3</v>
      </c>
      <c r="G57" s="9">
        <v>3.8977259161522153E-4</v>
      </c>
    </row>
    <row r="58" spans="1:7">
      <c r="C58" s="3">
        <v>44789</v>
      </c>
      <c r="D58" s="6">
        <v>299.25510000000003</v>
      </c>
      <c r="E58" s="6">
        <v>299.26749999999998</v>
      </c>
      <c r="F58" s="9">
        <v>9.5260298430987415E-4</v>
      </c>
      <c r="G58" s="9">
        <v>4.1436219466124013E-5</v>
      </c>
    </row>
    <row r="59" spans="1:7">
      <c r="C59" s="3">
        <v>44835</v>
      </c>
      <c r="D59" s="6">
        <v>488.05149999999998</v>
      </c>
      <c r="E59" s="6">
        <v>488.05200000000002</v>
      </c>
      <c r="F59" s="9">
        <v>5.0407057479749544E-5</v>
      </c>
      <c r="G59" s="9">
        <v>1.0244820475810852E-6</v>
      </c>
    </row>
    <row r="60" spans="1:7">
      <c r="C60" s="3">
        <v>44894</v>
      </c>
      <c r="D60" s="6">
        <v>795.02689999999996</v>
      </c>
      <c r="E60" s="6">
        <v>795.85730000000001</v>
      </c>
      <c r="F60" s="9">
        <v>1.6276621392116265E-2</v>
      </c>
      <c r="G60" s="9">
        <v>1.0444929599238142E-3</v>
      </c>
    </row>
    <row r="61" spans="1:7">
      <c r="C61" s="3">
        <v>44895</v>
      </c>
      <c r="D61" s="6">
        <v>451.17320000000001</v>
      </c>
      <c r="E61" s="6">
        <v>451.18130000000002</v>
      </c>
      <c r="F61" s="9">
        <v>6.3585846992534971E-4</v>
      </c>
      <c r="G61" s="9">
        <v>1.7953194028397735E-5</v>
      </c>
    </row>
    <row r="62" spans="1:7" s="2" customFormat="1">
      <c r="A62" s="2" t="s">
        <v>9</v>
      </c>
      <c r="B62" s="5" t="s">
        <v>6</v>
      </c>
      <c r="D62" s="7">
        <f>AVERAGE(D63:D67)</f>
        <v>533.2732400000001</v>
      </c>
      <c r="E62" s="7">
        <f>AVERAGE(E63:E67)</f>
        <v>533.31542000000002</v>
      </c>
      <c r="F62" s="8">
        <v>3.5667267795602034E-3</v>
      </c>
      <c r="G62" s="8">
        <v>7.9096412188086942E-5</v>
      </c>
    </row>
    <row r="63" spans="1:7">
      <c r="C63" s="3">
        <v>44771</v>
      </c>
      <c r="D63" s="6">
        <v>639.25959999999998</v>
      </c>
      <c r="E63" s="6">
        <v>639.30930000000001</v>
      </c>
      <c r="F63" s="9">
        <v>4.0007080120801029E-3</v>
      </c>
      <c r="G63" s="9">
        <v>7.7746192626641563E-5</v>
      </c>
    </row>
    <row r="64" spans="1:7">
      <c r="C64" s="3">
        <v>44789</v>
      </c>
      <c r="D64" s="6">
        <v>299.11619999999999</v>
      </c>
      <c r="E64" s="6">
        <v>299.1189</v>
      </c>
      <c r="F64" s="9">
        <v>4.8800834062775886E-4</v>
      </c>
      <c r="G64" s="9">
        <v>9.0265923410512897E-6</v>
      </c>
    </row>
    <row r="65" spans="1:7">
      <c r="C65" s="3">
        <v>44835</v>
      </c>
      <c r="D65" s="6">
        <v>488.03930000000003</v>
      </c>
      <c r="E65" s="6">
        <v>488.0394</v>
      </c>
      <c r="F65" s="9">
        <v>2.5408435477662673E-5</v>
      </c>
      <c r="G65" s="9">
        <v>2.0490153144408236E-7</v>
      </c>
    </row>
    <row r="66" spans="1:7">
      <c r="C66" s="3">
        <v>44894</v>
      </c>
      <c r="D66" s="6">
        <v>788.91930000000002</v>
      </c>
      <c r="E66" s="6">
        <v>789.07560000000001</v>
      </c>
      <c r="F66" s="9">
        <v>8.4693244405106977E-3</v>
      </c>
      <c r="G66" s="9">
        <v>1.9811912321068511E-4</v>
      </c>
    </row>
    <row r="67" spans="1:7">
      <c r="C67" s="3">
        <v>44895</v>
      </c>
      <c r="D67" s="6">
        <v>451.03179999999998</v>
      </c>
      <c r="E67" s="6">
        <v>451.03390000000002</v>
      </c>
      <c r="F67" s="9">
        <v>3.2225404841343299E-4</v>
      </c>
      <c r="G67" s="9">
        <v>4.655990996735244E-6</v>
      </c>
    </row>
    <row r="68" spans="1:7" s="2" customFormat="1">
      <c r="A68" s="2" t="s">
        <v>9</v>
      </c>
      <c r="B68" s="5" t="s">
        <v>7</v>
      </c>
      <c r="D68" s="7">
        <f>AVERAGE(D69:D73)</f>
        <v>529.39260000000002</v>
      </c>
      <c r="E68" s="7">
        <f>AVERAGE(E69:E73)</f>
        <v>529.44046000000003</v>
      </c>
      <c r="F68" s="8">
        <v>-3.7362483005505425E-3</v>
      </c>
      <c r="G68" s="8">
        <v>9.0405494901164509E-5</v>
      </c>
    </row>
    <row r="69" spans="1:7">
      <c r="C69" s="3">
        <v>44771</v>
      </c>
      <c r="D69" s="6">
        <v>634.05920000000003</v>
      </c>
      <c r="E69" s="6">
        <v>634.11519999999996</v>
      </c>
      <c r="F69" s="9">
        <v>-4.1668741125308788E-3</v>
      </c>
      <c r="G69" s="9">
        <v>8.8319828810821331E-5</v>
      </c>
    </row>
    <row r="70" spans="1:7">
      <c r="C70" s="3">
        <v>44789</v>
      </c>
      <c r="D70" s="6">
        <v>298.81920000000002</v>
      </c>
      <c r="E70" s="6">
        <v>298.82170000000002</v>
      </c>
      <c r="F70" s="9">
        <v>-5.0540137264465856E-4</v>
      </c>
      <c r="G70" s="9">
        <v>8.3662629442744176E-6</v>
      </c>
    </row>
    <row r="71" spans="1:7">
      <c r="C71" s="3">
        <v>44835</v>
      </c>
      <c r="D71" s="6">
        <v>488.01420000000002</v>
      </c>
      <c r="E71" s="6">
        <v>488.01429999999999</v>
      </c>
      <c r="F71" s="9">
        <v>-2.6023155690793419E-5</v>
      </c>
      <c r="G71" s="9">
        <v>2.0491207013012725E-7</v>
      </c>
    </row>
    <row r="72" spans="1:7">
      <c r="C72" s="3">
        <v>44894</v>
      </c>
      <c r="D72" s="6">
        <v>775.3329</v>
      </c>
      <c r="E72" s="6">
        <v>775.51199999999994</v>
      </c>
      <c r="F72" s="9">
        <v>-8.8980636175309546E-3</v>
      </c>
      <c r="G72" s="9">
        <v>2.3099754956864145E-4</v>
      </c>
    </row>
    <row r="73" spans="1:7">
      <c r="C73" s="3">
        <v>44895</v>
      </c>
      <c r="D73" s="6">
        <v>450.73750000000001</v>
      </c>
      <c r="E73" s="6">
        <v>450.73910000000001</v>
      </c>
      <c r="F73" s="9">
        <v>-3.304601047048446E-4</v>
      </c>
      <c r="G73" s="9">
        <v>3.5497379294961503E-6</v>
      </c>
    </row>
    <row r="74" spans="1:7" s="2" customFormat="1">
      <c r="A74" s="2" t="s">
        <v>9</v>
      </c>
      <c r="B74" s="5" t="s">
        <v>8</v>
      </c>
      <c r="D74" s="7">
        <f>AVERAGE(D75:D79)</f>
        <v>527.32061999999996</v>
      </c>
      <c r="E74" s="7">
        <f>AVERAGE(E75:E79)</f>
        <v>527.50299999999993</v>
      </c>
      <c r="F74" s="8">
        <v>-7.63550674928269E-3</v>
      </c>
      <c r="G74" s="8">
        <v>3.4586168847326027E-4</v>
      </c>
    </row>
    <row r="75" spans="1:7">
      <c r="C75" s="3">
        <v>44771</v>
      </c>
      <c r="D75" s="6">
        <v>631.28300000000002</v>
      </c>
      <c r="E75" s="6">
        <v>631.51819999999998</v>
      </c>
      <c r="F75" s="9">
        <v>-8.5270851529018858E-3</v>
      </c>
      <c r="G75" s="9">
        <v>3.7257458223960318E-4</v>
      </c>
    </row>
    <row r="76" spans="1:7">
      <c r="C76" s="3">
        <v>44789</v>
      </c>
      <c r="D76" s="6">
        <v>298.66109999999998</v>
      </c>
      <c r="E76" s="6">
        <v>298.67309999999998</v>
      </c>
      <c r="F76" s="9">
        <v>-1.0342164422353409E-3</v>
      </c>
      <c r="G76" s="9">
        <v>4.017932030652956E-5</v>
      </c>
    </row>
    <row r="77" spans="1:7">
      <c r="C77" s="3">
        <v>44835</v>
      </c>
      <c r="D77" s="6">
        <v>488.00139999999999</v>
      </c>
      <c r="E77" s="6">
        <v>488.0018</v>
      </c>
      <c r="F77" s="9">
        <v>-5.2251218119374733E-5</v>
      </c>
      <c r="G77" s="9">
        <v>8.1966977966308833E-7</v>
      </c>
    </row>
    <row r="78" spans="1:7">
      <c r="C78" s="3">
        <v>44894</v>
      </c>
      <c r="D78" s="6">
        <v>768.07169999999996</v>
      </c>
      <c r="E78" s="6">
        <v>768.73019999999997</v>
      </c>
      <c r="F78" s="9">
        <v>-1.8179998358673004E-2</v>
      </c>
      <c r="G78" s="9">
        <v>8.5734183410221163E-4</v>
      </c>
    </row>
    <row r="79" spans="1:7">
      <c r="C79" s="3">
        <v>44895</v>
      </c>
      <c r="D79" s="6">
        <v>450.58589999999998</v>
      </c>
      <c r="E79" s="6">
        <v>450.5917</v>
      </c>
      <c r="F79" s="9">
        <v>-6.6668662734420143E-4</v>
      </c>
      <c r="G79" s="9">
        <v>1.287212937648961E-5</v>
      </c>
    </row>
    <row r="80" spans="1:7" s="2" customFormat="1">
      <c r="A80" s="2" t="s">
        <v>11</v>
      </c>
      <c r="B80" s="5" t="s">
        <v>5</v>
      </c>
      <c r="D80" s="7">
        <f>AVERAGE(D81:D85)</f>
        <v>564.69434000000001</v>
      </c>
      <c r="E80" s="7">
        <f>AVERAGE(E81:E85)</f>
        <v>565.24988000000008</v>
      </c>
      <c r="F80" s="8">
        <v>6.2698084053015635E-2</v>
      </c>
      <c r="G80" s="8">
        <v>9.837888582344646E-4</v>
      </c>
    </row>
    <row r="81" spans="1:7">
      <c r="C81" s="3">
        <v>44771</v>
      </c>
      <c r="D81" s="6">
        <v>666.42870000000005</v>
      </c>
      <c r="E81" s="6">
        <v>667.35910000000001</v>
      </c>
      <c r="F81" s="9">
        <v>4.6671628614682048E-2</v>
      </c>
      <c r="G81" s="9">
        <v>1.3960983373014445E-3</v>
      </c>
    </row>
    <row r="82" spans="1:7">
      <c r="C82" s="3">
        <v>44789</v>
      </c>
      <c r="D82" s="6">
        <v>307.73250000000002</v>
      </c>
      <c r="E82" s="6">
        <v>307.94049999999999</v>
      </c>
      <c r="F82" s="9">
        <v>2.9307927911234016E-2</v>
      </c>
      <c r="G82" s="9">
        <v>6.7591170903291004E-4</v>
      </c>
    </row>
    <row r="83" spans="1:7">
      <c r="C83" s="3">
        <v>44835</v>
      </c>
      <c r="D83" s="6">
        <v>535.65920000000006</v>
      </c>
      <c r="E83" s="6">
        <v>535.67830000000004</v>
      </c>
      <c r="F83" s="9">
        <v>9.760179203236552E-2</v>
      </c>
      <c r="G83" s="9">
        <v>3.5656999823731869E-5</v>
      </c>
    </row>
    <row r="84" spans="1:7">
      <c r="C84" s="3">
        <v>44894</v>
      </c>
      <c r="D84" s="6">
        <v>825.90449999999998</v>
      </c>
      <c r="E84" s="6">
        <v>827.44709999999998</v>
      </c>
      <c r="F84" s="9">
        <v>5.5747214154068393E-2</v>
      </c>
      <c r="G84" s="9">
        <v>1.8677704262417666E-3</v>
      </c>
    </row>
    <row r="85" spans="1:7">
      <c r="C85" s="3">
        <v>44895</v>
      </c>
      <c r="D85" s="6">
        <v>487.74680000000001</v>
      </c>
      <c r="E85" s="6">
        <v>487.82440000000003</v>
      </c>
      <c r="F85" s="9">
        <v>8.1750728841959108E-2</v>
      </c>
      <c r="G85" s="9">
        <v>1.5909894232010973E-4</v>
      </c>
    </row>
    <row r="86" spans="1:7" s="2" customFormat="1">
      <c r="A86" s="2" t="s">
        <v>11</v>
      </c>
      <c r="B86" s="5" t="s">
        <v>6</v>
      </c>
      <c r="D86" s="7">
        <f>AVERAGE(D87:D91)</f>
        <v>548.15604000000008</v>
      </c>
      <c r="E86" s="7">
        <f>AVERAGE(E87:E91)</f>
        <v>548.31392000000005</v>
      </c>
      <c r="F86" s="8">
        <v>3.1574662976236435E-2</v>
      </c>
      <c r="G86" s="8">
        <v>2.8802017761215832E-4</v>
      </c>
    </row>
    <row r="87" spans="1:7">
      <c r="C87" s="3">
        <v>44771</v>
      </c>
      <c r="D87" s="6">
        <v>651.78790000000004</v>
      </c>
      <c r="E87" s="6">
        <v>652.03570000000002</v>
      </c>
      <c r="F87" s="9">
        <v>2.3677255802974133E-2</v>
      </c>
      <c r="G87" s="9">
        <v>3.8018502644799603E-4</v>
      </c>
    </row>
    <row r="88" spans="1:7">
      <c r="C88" s="3">
        <v>44789</v>
      </c>
      <c r="D88" s="6">
        <v>303.39980000000003</v>
      </c>
      <c r="E88" s="6">
        <v>303.4554</v>
      </c>
      <c r="F88" s="9">
        <v>1.4815852945928135E-2</v>
      </c>
      <c r="G88" s="9">
        <v>1.8325654796071022E-4</v>
      </c>
    </row>
    <row r="89" spans="1:7">
      <c r="C89" s="3">
        <v>44835</v>
      </c>
      <c r="D89" s="6">
        <v>511.846</v>
      </c>
      <c r="E89" s="6">
        <v>511.8526</v>
      </c>
      <c r="F89" s="9">
        <v>4.8806940764945524E-2</v>
      </c>
      <c r="G89" s="9">
        <v>1.2894503424842088E-5</v>
      </c>
    </row>
    <row r="90" spans="1:7">
      <c r="C90" s="3">
        <v>44894</v>
      </c>
      <c r="D90" s="6">
        <v>804.41079999999999</v>
      </c>
      <c r="E90" s="6">
        <v>804.87040000000002</v>
      </c>
      <c r="F90" s="9">
        <v>2.8271986816206341E-2</v>
      </c>
      <c r="G90" s="9">
        <v>5.7134986253295345E-4</v>
      </c>
    </row>
    <row r="91" spans="1:7">
      <c r="C91" s="3">
        <v>44895</v>
      </c>
      <c r="D91" s="6">
        <v>469.33569999999997</v>
      </c>
      <c r="E91" s="6">
        <v>469.35550000000001</v>
      </c>
      <c r="F91" s="9">
        <v>4.0917614521614555E-2</v>
      </c>
      <c r="G91" s="9">
        <v>4.2187287265878166E-5</v>
      </c>
    </row>
    <row r="92" spans="1:7" s="2" customFormat="1">
      <c r="A92" s="2" t="s">
        <v>11</v>
      </c>
      <c r="B92" s="5" t="s">
        <v>7</v>
      </c>
      <c r="D92" s="7">
        <f>AVERAGE(D93:D97)</f>
        <v>514.26786000000004</v>
      </c>
      <c r="E92" s="7">
        <f>AVERAGE(E93:E97)</f>
        <v>514.44197999999994</v>
      </c>
      <c r="F92" s="8">
        <v>-3.2199491299940229E-2</v>
      </c>
      <c r="G92" s="8">
        <v>3.3857842098065894E-4</v>
      </c>
    </row>
    <row r="93" spans="1:7">
      <c r="C93" s="3">
        <v>44771</v>
      </c>
      <c r="D93" s="6">
        <v>621.09</v>
      </c>
      <c r="E93" s="6">
        <v>621.38879999999995</v>
      </c>
      <c r="F93" s="9">
        <v>-2.4535885359839908E-2</v>
      </c>
      <c r="G93" s="9">
        <v>4.810896971452039E-4</v>
      </c>
    </row>
    <row r="94" spans="1:7">
      <c r="C94" s="3">
        <v>44789</v>
      </c>
      <c r="D94" s="6">
        <v>294.44380000000001</v>
      </c>
      <c r="E94" s="6">
        <v>294.48520000000002</v>
      </c>
      <c r="F94" s="9">
        <v>-1.5140299889320105E-2</v>
      </c>
      <c r="G94" s="9">
        <v>1.4060408132217454E-4</v>
      </c>
    </row>
    <row r="95" spans="1:7">
      <c r="C95" s="3">
        <v>44835</v>
      </c>
      <c r="D95" s="6">
        <v>464.19830000000002</v>
      </c>
      <c r="E95" s="6">
        <v>464.20119999999997</v>
      </c>
      <c r="F95" s="9">
        <v>-4.88264069050292E-2</v>
      </c>
      <c r="G95" s="9">
        <v>6.2473300741389218E-6</v>
      </c>
    </row>
    <row r="96" spans="1:7">
      <c r="C96" s="3">
        <v>44894</v>
      </c>
      <c r="D96" s="6">
        <v>759.21600000000001</v>
      </c>
      <c r="E96" s="6">
        <v>759.71709999999996</v>
      </c>
      <c r="F96" s="9">
        <v>-2.9500169885022767E-2</v>
      </c>
      <c r="G96" s="9">
        <v>6.6002297106482373E-4</v>
      </c>
    </row>
    <row r="97" spans="1:7">
      <c r="C97" s="3">
        <v>44895</v>
      </c>
      <c r="D97" s="6">
        <v>432.39120000000003</v>
      </c>
      <c r="E97" s="6">
        <v>432.41759999999999</v>
      </c>
      <c r="F97" s="9">
        <v>-4.1019857547298456E-2</v>
      </c>
      <c r="G97" s="9">
        <v>6.1055821672519918E-5</v>
      </c>
    </row>
    <row r="98" spans="1:7" s="2" customFormat="1">
      <c r="A98" s="2" t="s">
        <v>11</v>
      </c>
      <c r="B98" s="5" t="s">
        <v>8</v>
      </c>
      <c r="D98" s="7">
        <f>AVERAGE(D99:D103)</f>
        <v>496.32548000000008</v>
      </c>
      <c r="E98" s="7">
        <f>AVERAGE(E99:E103)</f>
        <v>497.50604000000004</v>
      </c>
      <c r="F98" s="8">
        <v>-6.59652500453725E-2</v>
      </c>
      <c r="G98" s="8">
        <v>2.37860042970181E-3</v>
      </c>
    </row>
    <row r="99" spans="1:7">
      <c r="C99" s="3">
        <v>44771</v>
      </c>
      <c r="D99" s="6">
        <v>604.48940000000005</v>
      </c>
      <c r="E99" s="6">
        <v>606.06539999999995</v>
      </c>
      <c r="F99" s="9">
        <v>-5.060825745002881E-2</v>
      </c>
      <c r="G99" s="9">
        <v>2.6071590337231852E-3</v>
      </c>
    </row>
    <row r="100" spans="1:7">
      <c r="C100" s="3">
        <v>44789</v>
      </c>
      <c r="D100" s="6">
        <v>289.75</v>
      </c>
      <c r="E100" s="6">
        <v>290.00020000000001</v>
      </c>
      <c r="F100" s="9">
        <v>-3.0840187135645274E-2</v>
      </c>
      <c r="G100" s="9">
        <v>8.6350301984471664E-4</v>
      </c>
    </row>
    <row r="101" spans="1:7">
      <c r="C101" s="3">
        <v>44835</v>
      </c>
      <c r="D101" s="6">
        <v>440.3562</v>
      </c>
      <c r="E101" s="6">
        <v>440.37549999999999</v>
      </c>
      <c r="F101" s="9">
        <v>-9.7680476219651022E-2</v>
      </c>
      <c r="G101" s="9">
        <v>4.3828155479557215E-5</v>
      </c>
    </row>
    <row r="102" spans="1:7">
      <c r="C102" s="3">
        <v>44894</v>
      </c>
      <c r="D102" s="6">
        <v>733.20209999999997</v>
      </c>
      <c r="E102" s="6">
        <v>737.1404</v>
      </c>
      <c r="F102" s="9">
        <v>-6.2753533263334133E-2</v>
      </c>
      <c r="G102" s="9">
        <v>5.371370322043577E-3</v>
      </c>
    </row>
    <row r="103" spans="1:7">
      <c r="C103" s="3">
        <v>44895</v>
      </c>
      <c r="D103" s="6">
        <v>413.8297</v>
      </c>
      <c r="E103" s="6">
        <v>413.94869999999997</v>
      </c>
      <c r="F103" s="9">
        <v>-8.2186536966620219E-2</v>
      </c>
      <c r="G103" s="9">
        <v>2.8755790123321585E-4</v>
      </c>
    </row>
    <row r="104" spans="1:7" s="2" customFormat="1">
      <c r="A104" s="2" t="s">
        <v>12</v>
      </c>
      <c r="B104" s="5" t="s">
        <v>5</v>
      </c>
      <c r="D104" s="7">
        <f>AVERAGE(D105:D109)</f>
        <v>521.70438000000001</v>
      </c>
      <c r="E104" s="7">
        <f>AVERAGE(E105:E109)</f>
        <v>522.52567999999997</v>
      </c>
      <c r="F104" s="8">
        <v>-1.8204706871922226E-2</v>
      </c>
      <c r="G104" s="8">
        <v>1.5742631871328186E-3</v>
      </c>
    </row>
    <row r="105" spans="1:7">
      <c r="C105" s="3">
        <v>44771</v>
      </c>
      <c r="D105" s="6">
        <v>622.59410000000003</v>
      </c>
      <c r="E105" s="6">
        <v>623.99030000000005</v>
      </c>
      <c r="F105" s="9">
        <v>-2.2173593945020383E-2</v>
      </c>
      <c r="G105" s="9">
        <v>2.2425525715711434E-3</v>
      </c>
    </row>
    <row r="106" spans="1:7">
      <c r="C106" s="3">
        <v>44789</v>
      </c>
      <c r="D106" s="6">
        <v>297.87169999999998</v>
      </c>
      <c r="E106" s="6">
        <v>297.99979999999999</v>
      </c>
      <c r="F106" s="9">
        <v>-3.6746124949536226E-3</v>
      </c>
      <c r="G106" s="9">
        <v>4.300509246095472E-4</v>
      </c>
    </row>
    <row r="107" spans="1:7">
      <c r="C107" s="3">
        <v>44835</v>
      </c>
      <c r="D107" s="6">
        <v>487.91680000000002</v>
      </c>
      <c r="E107" s="6">
        <v>487.92180000000002</v>
      </c>
      <c r="F107" s="9">
        <v>-2.2560231823284441E-4</v>
      </c>
      <c r="G107" s="9">
        <v>1.0247648779454719E-5</v>
      </c>
    </row>
    <row r="108" spans="1:7">
      <c r="C108" s="3">
        <v>44894</v>
      </c>
      <c r="D108" s="6">
        <v>750.3931</v>
      </c>
      <c r="E108" s="6">
        <v>752.89549999999997</v>
      </c>
      <c r="F108" s="9">
        <v>-4.0778413429839309E-2</v>
      </c>
      <c r="G108" s="9">
        <v>3.3347854611136029E-3</v>
      </c>
    </row>
    <row r="109" spans="1:7">
      <c r="C109" s="3">
        <v>44895</v>
      </c>
      <c r="D109" s="6">
        <v>449.74619999999999</v>
      </c>
      <c r="E109" s="6">
        <v>449.82100000000003</v>
      </c>
      <c r="F109" s="9">
        <v>-2.5290178348653701E-3</v>
      </c>
      <c r="G109" s="9">
        <v>1.6631602446010404E-4</v>
      </c>
    </row>
    <row r="110" spans="1:7" s="2" customFormat="1">
      <c r="A110" s="2" t="s">
        <v>12</v>
      </c>
      <c r="B110" s="5" t="s">
        <v>6</v>
      </c>
      <c r="D110" s="7">
        <f>AVERAGE(D111:D115)</f>
        <v>526.00605999999993</v>
      </c>
      <c r="E110" s="7">
        <f>AVERAGE(E111:E115)</f>
        <v>526.28116</v>
      </c>
      <c r="F110" s="8">
        <v>-1.0109376760752546E-2</v>
      </c>
      <c r="G110" s="8">
        <v>5.2299777686984415E-4</v>
      </c>
    </row>
    <row r="111" spans="1:7">
      <c r="C111" s="3">
        <v>44771</v>
      </c>
      <c r="D111" s="6">
        <v>628.78549999999996</v>
      </c>
      <c r="E111" s="6">
        <v>629.24279999999999</v>
      </c>
      <c r="F111" s="9">
        <v>-1.2449578875734096E-2</v>
      </c>
      <c r="G111" s="9">
        <v>7.2727504053454164E-4</v>
      </c>
    </row>
    <row r="112" spans="1:7">
      <c r="C112" s="3">
        <v>44789</v>
      </c>
      <c r="D112" s="6">
        <v>298.30610000000001</v>
      </c>
      <c r="E112" s="6">
        <v>298.35590000000002</v>
      </c>
      <c r="F112" s="9">
        <v>-2.2216253587730751E-3</v>
      </c>
      <c r="G112" s="9">
        <v>1.6694261364418871E-4</v>
      </c>
    </row>
    <row r="113" spans="1:7">
      <c r="C113" s="3">
        <v>44835</v>
      </c>
      <c r="D113" s="6">
        <v>487.9504</v>
      </c>
      <c r="E113" s="6">
        <v>487.95249999999999</v>
      </c>
      <c r="F113" s="9">
        <v>-1.5675365435800773E-4</v>
      </c>
      <c r="G113" s="9">
        <v>4.3037161153765782E-6</v>
      </c>
    </row>
    <row r="114" spans="1:7">
      <c r="C114" s="3">
        <v>44894</v>
      </c>
      <c r="D114" s="6">
        <v>764.82669999999996</v>
      </c>
      <c r="E114" s="6">
        <v>765.6617</v>
      </c>
      <c r="F114" s="9">
        <v>-2.2328056287803984E-2</v>
      </c>
      <c r="G114" s="9">
        <v>1.0917505887281869E-3</v>
      </c>
    </row>
    <row r="115" spans="1:7">
      <c r="C115" s="3">
        <v>44895</v>
      </c>
      <c r="D115" s="6">
        <v>450.16160000000002</v>
      </c>
      <c r="E115" s="6">
        <v>450.19290000000001</v>
      </c>
      <c r="F115" s="9">
        <v>-1.6077216771848148E-3</v>
      </c>
      <c r="G115" s="9">
        <v>6.9530586349407525E-5</v>
      </c>
    </row>
    <row r="116" spans="1:7" s="2" customFormat="1">
      <c r="A116" s="2" t="s">
        <v>12</v>
      </c>
      <c r="B116" s="5" t="s">
        <v>7</v>
      </c>
      <c r="D116" s="7">
        <f>AVERAGE(D117:D121)</f>
        <v>538.05327999999997</v>
      </c>
      <c r="E116" s="7">
        <f>AVERAGE(E117:E121)</f>
        <v>538.41430000000003</v>
      </c>
      <c r="F116" s="8">
        <v>1.2562282410056943E-2</v>
      </c>
      <c r="G116" s="8">
        <v>6.7097444327456415E-4</v>
      </c>
    </row>
    <row r="117" spans="1:7">
      <c r="C117" s="3">
        <v>44771</v>
      </c>
      <c r="D117" s="6">
        <v>646.80899999999997</v>
      </c>
      <c r="E117" s="6">
        <v>647.54660000000001</v>
      </c>
      <c r="F117" s="9">
        <v>1.5857554503030554E-2</v>
      </c>
      <c r="G117" s="9">
        <v>1.1403675582746114E-3</v>
      </c>
    </row>
    <row r="118" spans="1:7">
      <c r="C118" s="3">
        <v>44789</v>
      </c>
      <c r="D118" s="6">
        <v>299.97820000000002</v>
      </c>
      <c r="E118" s="6">
        <v>300.06040000000002</v>
      </c>
      <c r="F118" s="9">
        <v>3.3712378788127331E-3</v>
      </c>
      <c r="G118" s="9">
        <v>2.7401991211361448E-4</v>
      </c>
    </row>
    <row r="119" spans="1:7">
      <c r="C119" s="3">
        <v>44835</v>
      </c>
      <c r="D119" s="6">
        <v>488.19569999999999</v>
      </c>
      <c r="E119" s="6">
        <v>488.20080000000002</v>
      </c>
      <c r="F119" s="9">
        <v>3.4588257327613717E-4</v>
      </c>
      <c r="G119" s="9">
        <v>1.0446630316545587E-5</v>
      </c>
    </row>
    <row r="120" spans="1:7">
      <c r="C120" s="3">
        <v>44894</v>
      </c>
      <c r="D120" s="6">
        <v>803.16369999999995</v>
      </c>
      <c r="E120" s="6">
        <v>804.07979999999998</v>
      </c>
      <c r="F120" s="9">
        <v>2.6677828713457676E-2</v>
      </c>
      <c r="G120" s="9">
        <v>1.1406142981810914E-3</v>
      </c>
    </row>
    <row r="121" spans="1:7">
      <c r="C121" s="3">
        <v>44895</v>
      </c>
      <c r="D121" s="6">
        <v>452.1198</v>
      </c>
      <c r="E121" s="6">
        <v>452.18389999999999</v>
      </c>
      <c r="F121" s="9">
        <v>2.735278168674346E-3</v>
      </c>
      <c r="G121" s="9">
        <v>1.4177658222443759E-4</v>
      </c>
    </row>
    <row r="122" spans="1:7" s="2" customFormat="1">
      <c r="A122" s="2" t="s">
        <v>12</v>
      </c>
      <c r="B122" s="5" t="s">
        <v>8</v>
      </c>
      <c r="D122" s="7">
        <f>AVERAGE(D123:D127)</f>
        <v>546.33506</v>
      </c>
      <c r="E122" s="7">
        <f>AVERAGE(E123:E127)</f>
        <v>547.81965999999989</v>
      </c>
      <c r="F122" s="8">
        <v>2.8147761341098844E-2</v>
      </c>
      <c r="G122" s="8">
        <v>2.7173800634355898E-3</v>
      </c>
    </row>
    <row r="123" spans="1:7">
      <c r="C123" s="3">
        <v>44771</v>
      </c>
      <c r="D123" s="6">
        <v>659.64250000000004</v>
      </c>
      <c r="E123" s="6">
        <v>662.61900000000003</v>
      </c>
      <c r="F123" s="9">
        <v>3.6013439664979004E-2</v>
      </c>
      <c r="G123" s="9">
        <v>4.5122926433636204E-3</v>
      </c>
    </row>
    <row r="124" spans="1:7">
      <c r="C124" s="3">
        <v>44789</v>
      </c>
      <c r="D124" s="6">
        <v>301.49979999999999</v>
      </c>
      <c r="E124" s="6">
        <v>301.88889999999998</v>
      </c>
      <c r="F124" s="9">
        <v>8.4607066320634E-3</v>
      </c>
      <c r="G124" s="9">
        <v>1.2905481197665303E-3</v>
      </c>
    </row>
    <row r="125" spans="1:7">
      <c r="C125" s="3">
        <v>44835</v>
      </c>
      <c r="D125" s="6">
        <v>488.5566</v>
      </c>
      <c r="E125" s="6">
        <v>488.57900000000001</v>
      </c>
      <c r="F125" s="9">
        <v>1.0853909897179667E-3</v>
      </c>
      <c r="G125" s="9">
        <v>4.5849344784216688E-5</v>
      </c>
    </row>
    <row r="126" spans="1:7">
      <c r="C126" s="3">
        <v>44894</v>
      </c>
      <c r="D126" s="6">
        <v>827.81460000000004</v>
      </c>
      <c r="E126" s="6">
        <v>831.58339999999998</v>
      </c>
      <c r="F126" s="9">
        <v>5.8188879932322107E-2</v>
      </c>
      <c r="G126" s="9">
        <v>4.5527102324601932E-3</v>
      </c>
    </row>
    <row r="127" spans="1:7">
      <c r="C127" s="3">
        <v>44895</v>
      </c>
      <c r="D127" s="6">
        <v>454.16180000000003</v>
      </c>
      <c r="E127" s="6">
        <v>454.428</v>
      </c>
      <c r="F127" s="9">
        <v>7.2641341002669529E-3</v>
      </c>
      <c r="G127" s="9">
        <v>5.8613472114997197E-4</v>
      </c>
    </row>
    <row r="128" spans="1:7" s="2" customFormat="1">
      <c r="A128" s="2" t="s">
        <v>13</v>
      </c>
      <c r="B128" s="5" t="s">
        <v>5</v>
      </c>
      <c r="D128" s="7">
        <f>AVERAGE(D129:D133)</f>
        <v>462.11378000000002</v>
      </c>
      <c r="E128" s="7">
        <f>AVERAGE(E129:E133)</f>
        <v>466.43100000000004</v>
      </c>
      <c r="F128" s="8">
        <v>-0.1303482364981792</v>
      </c>
      <c r="G128" s="8">
        <v>9.3423312327972994E-3</v>
      </c>
    </row>
    <row r="129" spans="1:7">
      <c r="C129" s="3">
        <v>44771</v>
      </c>
      <c r="D129" s="6">
        <v>563.05920000000003</v>
      </c>
      <c r="E129" s="6">
        <v>569.96320000000003</v>
      </c>
      <c r="F129" s="9">
        <v>-0.1156772061730235</v>
      </c>
      <c r="G129" s="9">
        <v>1.2261588124303797E-2</v>
      </c>
    </row>
    <row r="130" spans="1:7">
      <c r="C130" s="3">
        <v>44789</v>
      </c>
      <c r="D130" s="6">
        <v>273.79230000000001</v>
      </c>
      <c r="E130" s="6">
        <v>276.23660000000001</v>
      </c>
      <c r="F130" s="9">
        <v>-8.4215723100254422E-2</v>
      </c>
      <c r="G130" s="9">
        <v>8.9275702786382177E-3</v>
      </c>
    </row>
    <row r="131" spans="1:7">
      <c r="C131" s="3">
        <v>44835</v>
      </c>
      <c r="D131" s="6">
        <v>405.91579999999999</v>
      </c>
      <c r="E131" s="6">
        <v>406.45819999999998</v>
      </c>
      <c r="F131" s="9">
        <v>-0.16825117631835462</v>
      </c>
      <c r="G131" s="9">
        <v>1.3362377123531197E-3</v>
      </c>
    </row>
    <row r="132" spans="1:7">
      <c r="C132" s="3">
        <v>44894</v>
      </c>
      <c r="D132" s="6">
        <v>686.09040000000005</v>
      </c>
      <c r="E132" s="6">
        <v>696.34630000000004</v>
      </c>
      <c r="F132" s="9">
        <v>-0.12297604812923224</v>
      </c>
      <c r="G132" s="9">
        <v>1.4948321678892455E-2</v>
      </c>
    </row>
    <row r="133" spans="1:7">
      <c r="C133" s="3">
        <v>44895</v>
      </c>
      <c r="D133" s="6">
        <v>381.71120000000002</v>
      </c>
      <c r="E133" s="6">
        <v>383.15069999999997</v>
      </c>
      <c r="F133" s="9">
        <v>-0.15342065020797915</v>
      </c>
      <c r="G133" s="9">
        <v>3.7711756951327407E-3</v>
      </c>
    </row>
    <row r="134" spans="1:7" s="2" customFormat="1">
      <c r="A134" s="2" t="s">
        <v>13</v>
      </c>
      <c r="B134" s="5" t="s">
        <v>6</v>
      </c>
      <c r="D134" s="7">
        <f>AVERAGE(D135:D139)</f>
        <v>482.72633999999999</v>
      </c>
      <c r="E134" s="7">
        <f>AVERAGE(E135:E139)</f>
        <v>484.83382</v>
      </c>
      <c r="F134" s="8">
        <v>-9.1557466929941989E-2</v>
      </c>
      <c r="G134" s="8">
        <v>4.3657862133647182E-3</v>
      </c>
    </row>
    <row r="135" spans="1:7">
      <c r="C135" s="3">
        <v>44771</v>
      </c>
      <c r="D135" s="6">
        <v>584.8682</v>
      </c>
      <c r="E135" s="6">
        <v>588.23609999999996</v>
      </c>
      <c r="F135" s="9">
        <v>-8.1424687413766031E-2</v>
      </c>
      <c r="G135" s="9">
        <v>5.7583913777496595E-3</v>
      </c>
    </row>
    <row r="136" spans="1:7">
      <c r="C136" s="3">
        <v>44789</v>
      </c>
      <c r="D136" s="6">
        <v>280.89460000000003</v>
      </c>
      <c r="E136" s="6">
        <v>282.12810000000002</v>
      </c>
      <c r="F136" s="9">
        <v>-6.0459851697643487E-2</v>
      </c>
      <c r="G136" s="9">
        <v>4.391326853559991E-3</v>
      </c>
    </row>
    <row r="137" spans="1:7">
      <c r="C137" s="3">
        <v>44835</v>
      </c>
      <c r="D137" s="6">
        <v>429.95310000000001</v>
      </c>
      <c r="E137" s="6">
        <v>430.23489999999998</v>
      </c>
      <c r="F137" s="9">
        <v>-0.11899712905169778</v>
      </c>
      <c r="G137" s="9">
        <v>6.5542032375153392E-4</v>
      </c>
    </row>
    <row r="138" spans="1:7">
      <c r="C138" s="3">
        <v>44894</v>
      </c>
      <c r="D138" s="6">
        <v>715.71019999999999</v>
      </c>
      <c r="E138" s="6">
        <v>720.64400000000001</v>
      </c>
      <c r="F138" s="9">
        <v>-8.5113291195711954E-2</v>
      </c>
      <c r="G138" s="9">
        <v>6.8935722866601866E-3</v>
      </c>
    </row>
    <row r="139" spans="1:7">
      <c r="C139" s="3">
        <v>44895</v>
      </c>
      <c r="D139" s="6">
        <v>402.2056</v>
      </c>
      <c r="E139" s="6">
        <v>402.92599999999999</v>
      </c>
      <c r="F139" s="9">
        <v>-0.10796708262500652</v>
      </c>
      <c r="G139" s="9">
        <v>1.7911237436773226E-3</v>
      </c>
    </row>
    <row r="140" spans="1:7" s="2" customFormat="1" ht="13" customHeight="1">
      <c r="A140" s="2" t="s">
        <v>13</v>
      </c>
      <c r="B140" s="5" t="s">
        <v>7</v>
      </c>
      <c r="D140" s="7">
        <f>AVERAGE(D141:D145)</f>
        <v>559.99981999999989</v>
      </c>
      <c r="E140" s="7">
        <f>AVERAGE(E141:E145)</f>
        <v>560.69929999999999</v>
      </c>
      <c r="F140" s="8">
        <v>5.3863468481078619E-2</v>
      </c>
      <c r="G140" s="8">
        <v>1.2490718300589953E-3</v>
      </c>
    </row>
    <row r="141" spans="1:7">
      <c r="C141" s="3">
        <v>44771</v>
      </c>
      <c r="D141" s="6">
        <v>667.52380000000005</v>
      </c>
      <c r="E141" s="6">
        <v>668.56240000000003</v>
      </c>
      <c r="F141" s="9">
        <v>4.8391557694110861E-2</v>
      </c>
      <c r="G141" s="9">
        <v>1.5558995799100704E-3</v>
      </c>
    </row>
    <row r="142" spans="1:7">
      <c r="C142" s="3">
        <v>44789</v>
      </c>
      <c r="D142" s="6">
        <v>310.5018</v>
      </c>
      <c r="E142" s="6">
        <v>310.99020000000002</v>
      </c>
      <c r="F142" s="9">
        <v>3.8570720904384126E-2</v>
      </c>
      <c r="G142" s="9">
        <v>1.5729377414237626E-3</v>
      </c>
    </row>
    <row r="143" spans="1:7">
      <c r="C143" s="3">
        <v>44835</v>
      </c>
      <c r="D143" s="6">
        <v>522.82529999999997</v>
      </c>
      <c r="E143" s="6">
        <v>522.96519999999998</v>
      </c>
      <c r="F143" s="9">
        <v>7.1304266219751319E-2</v>
      </c>
      <c r="G143" s="9">
        <v>2.6758460235189738E-4</v>
      </c>
    </row>
    <row r="144" spans="1:7">
      <c r="C144" s="3">
        <v>44894</v>
      </c>
      <c r="D144" s="6">
        <v>819.67370000000005</v>
      </c>
      <c r="E144" s="6">
        <v>821.23889999999994</v>
      </c>
      <c r="F144" s="9">
        <v>4.7782431613289045E-2</v>
      </c>
      <c r="G144" s="9">
        <v>1.909540345139646E-3</v>
      </c>
    </row>
    <row r="145" spans="1:7">
      <c r="C145" s="3">
        <v>44895</v>
      </c>
      <c r="D145" s="6">
        <v>479.47449999999998</v>
      </c>
      <c r="E145" s="6">
        <v>479.7398</v>
      </c>
      <c r="F145" s="9">
        <v>6.3403983042295484E-2</v>
      </c>
      <c r="G145" s="9">
        <v>5.5331409699582517E-4</v>
      </c>
    </row>
    <row r="146" spans="1:7" s="2" customFormat="1">
      <c r="A146" s="2" t="s">
        <v>13</v>
      </c>
      <c r="B146" s="5" t="s">
        <v>8</v>
      </c>
      <c r="D146" s="7">
        <f>AVERAGE(D147:D151)</f>
        <v>627.59752000000003</v>
      </c>
      <c r="E146" s="7">
        <f>AVERAGE(E147:E151)</f>
        <v>634.53639999999996</v>
      </c>
      <c r="F146" s="8">
        <v>0.18107555684093482</v>
      </c>
      <c r="G146" s="8">
        <v>1.1056257838622317E-2</v>
      </c>
    </row>
    <row r="147" spans="1:7">
      <c r="C147" s="3">
        <v>44771</v>
      </c>
      <c r="D147" s="6">
        <v>741.45209999999997</v>
      </c>
      <c r="E147" s="6">
        <v>751.82029999999997</v>
      </c>
      <c r="F147" s="9">
        <v>0.16450098419647294</v>
      </c>
      <c r="G147" s="9">
        <v>1.3983641020100964E-2</v>
      </c>
    </row>
    <row r="148" spans="1:7">
      <c r="C148" s="3">
        <v>44789</v>
      </c>
      <c r="D148" s="6">
        <v>340.2996</v>
      </c>
      <c r="E148" s="6">
        <v>345.697</v>
      </c>
      <c r="F148" s="9">
        <v>0.13823881502610791</v>
      </c>
      <c r="G148" s="9">
        <v>1.5860729780464052E-2</v>
      </c>
    </row>
    <row r="149" spans="1:7">
      <c r="C149" s="3">
        <v>44835</v>
      </c>
      <c r="D149" s="6">
        <v>606.06569999999999</v>
      </c>
      <c r="E149" s="6">
        <v>607.89089999999999</v>
      </c>
      <c r="F149" s="9">
        <v>0.24186945432721019</v>
      </c>
      <c r="G149" s="9">
        <v>3.0115546878828406E-3</v>
      </c>
    </row>
    <row r="150" spans="1:7">
      <c r="C150" s="3">
        <v>44894</v>
      </c>
      <c r="D150" s="6">
        <v>903.94410000000005</v>
      </c>
      <c r="E150" s="6">
        <v>917.95479999999998</v>
      </c>
      <c r="F150" s="9">
        <v>0.15550461987555061</v>
      </c>
      <c r="G150" s="9">
        <v>1.5499520379634014E-2</v>
      </c>
    </row>
    <row r="151" spans="1:7">
      <c r="C151" s="3">
        <v>44895</v>
      </c>
      <c r="D151" s="6">
        <v>546.22609999999997</v>
      </c>
      <c r="E151" s="6">
        <v>549.31899999999996</v>
      </c>
      <c r="F151" s="9">
        <v>0.21144922280884426</v>
      </c>
      <c r="G151" s="9">
        <v>5.6623072387057046E-3</v>
      </c>
    </row>
    <row r="152" spans="1:7" s="2" customFormat="1">
      <c r="D152" s="7"/>
      <c r="E152" s="7"/>
    </row>
    <row r="153" spans="1:7">
      <c r="B153" s="1"/>
    </row>
    <row r="154" spans="1:7">
      <c r="B154" s="1"/>
    </row>
    <row r="155" spans="1:7">
      <c r="B155" s="1"/>
    </row>
    <row r="156" spans="1:7">
      <c r="B156" s="1"/>
    </row>
    <row r="157" spans="1:7">
      <c r="B157" s="1"/>
    </row>
    <row r="158" spans="1:7" s="2" customFormat="1">
      <c r="D158" s="7"/>
      <c r="E158" s="7"/>
    </row>
    <row r="159" spans="1:7">
      <c r="B159" s="1"/>
    </row>
    <row r="160" spans="1:7">
      <c r="B160" s="1"/>
    </row>
    <row r="161" spans="1:5">
      <c r="B161" s="1"/>
    </row>
    <row r="162" spans="1:5">
      <c r="B162" s="1"/>
    </row>
    <row r="163" spans="1:5">
      <c r="B163" s="1"/>
    </row>
    <row r="164" spans="1:5" s="2" customFormat="1">
      <c r="A164" s="1"/>
      <c r="B164" s="4"/>
      <c r="C164" s="1"/>
      <c r="D164" s="6"/>
      <c r="E164" s="6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 Jin</dc:creator>
  <cp:lastModifiedBy>Ding Jin</cp:lastModifiedBy>
  <dcterms:created xsi:type="dcterms:W3CDTF">2025-04-07T10:33:37Z</dcterms:created>
  <dcterms:modified xsi:type="dcterms:W3CDTF">2026-04-28T06:50:59Z</dcterms:modified>
</cp:coreProperties>
</file>